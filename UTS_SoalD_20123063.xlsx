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Tugas Kuliah\Mata Kuliah Sem 5\Kriptografi\Bahan UTS\"/>
    </mc:Choice>
  </mc:AlternateContent>
  <xr:revisionPtr revIDLastSave="0" documentId="13_ncr:1_{4575A466-2F4D-40C2-88FF-A7AA5FC19278}" xr6:coauthVersionLast="45" xr6:coauthVersionMax="45" xr10:uidLastSave="{00000000-0000-0000-0000-000000000000}"/>
  <bookViews>
    <workbookView xWindow="780" yWindow="780" windowWidth="15375" windowHeight="7785" firstSheet="1" activeTab="3" xr2:uid="{00000000-000D-0000-FFFF-FFFF00000000}"/>
  </bookViews>
  <sheets>
    <sheet name="Vigenere" sheetId="1" r:id="rId1"/>
    <sheet name="Playfair" sheetId="2" r:id="rId2"/>
    <sheet name="Frequency" sheetId="3" r:id="rId3"/>
    <sheet name="OT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" i="3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J9" i="4"/>
  <c r="I3" i="4"/>
  <c r="J3" i="4" s="1"/>
  <c r="I4" i="4"/>
  <c r="J4" i="4" s="1"/>
  <c r="I5" i="4"/>
  <c r="J5" i="4" s="1"/>
  <c r="I6" i="4"/>
  <c r="J6" i="4" s="1"/>
  <c r="I7" i="4"/>
  <c r="J7" i="4" s="1"/>
  <c r="I8" i="4"/>
  <c r="J8" i="4" s="1"/>
  <c r="I9" i="4"/>
  <c r="I10" i="4"/>
  <c r="J10" i="4" s="1"/>
  <c r="I11" i="4"/>
  <c r="J11" i="4" s="1"/>
  <c r="I2" i="4"/>
  <c r="J2" i="4" s="1"/>
</calcChain>
</file>

<file path=xl/sharedStrings.xml><?xml version="1.0" encoding="utf-8"?>
<sst xmlns="http://schemas.openxmlformats.org/spreadsheetml/2006/main" count="200" uniqueCount="65">
  <si>
    <t>Pos</t>
  </si>
  <si>
    <t>P(0-25)</t>
  </si>
  <si>
    <t>Key</t>
  </si>
  <si>
    <t>K(0-25)</t>
  </si>
  <si>
    <t>P+K</t>
  </si>
  <si>
    <t>(P+K) mod26</t>
  </si>
  <si>
    <t>S</t>
  </si>
  <si>
    <t>L</t>
  </si>
  <si>
    <t>D</t>
  </si>
  <si>
    <t>E</t>
  </si>
  <si>
    <t>I</t>
  </si>
  <si>
    <t>C</t>
  </si>
  <si>
    <t>M</t>
  </si>
  <si>
    <t>O</t>
  </si>
  <si>
    <t>U</t>
  </si>
  <si>
    <t>R</t>
  </si>
  <si>
    <t>N</t>
  </si>
  <si>
    <t>T</t>
  </si>
  <si>
    <t>X</t>
  </si>
  <si>
    <t>Y</t>
  </si>
  <si>
    <t>K</t>
  </si>
  <si>
    <t>W</t>
  </si>
  <si>
    <t>F</t>
  </si>
  <si>
    <t>P</t>
  </si>
  <si>
    <t>A</t>
  </si>
  <si>
    <t>V</t>
  </si>
  <si>
    <t>DIOIETXKWFAVUCETXK</t>
  </si>
  <si>
    <t>H</t>
  </si>
  <si>
    <t>B</t>
  </si>
  <si>
    <t>G</t>
  </si>
  <si>
    <t>Q</t>
  </si>
  <si>
    <t>Z</t>
  </si>
  <si>
    <t>Digram</t>
  </si>
  <si>
    <t>Letter</t>
  </si>
  <si>
    <t>Count</t>
  </si>
  <si>
    <t>J</t>
  </si>
  <si>
    <t>C(0-25)</t>
  </si>
  <si>
    <t>C-P</t>
  </si>
  <si>
    <t>(C-P) mod26</t>
  </si>
  <si>
    <t>KeyLetter</t>
  </si>
  <si>
    <t>HUTKDHUSQU</t>
  </si>
  <si>
    <t>Plaintext</t>
  </si>
  <si>
    <t>CipherText</t>
  </si>
  <si>
    <t>PlainText</t>
  </si>
  <si>
    <t>Ciphertext</t>
  </si>
  <si>
    <t>Huruf</t>
  </si>
  <si>
    <t>Nilai</t>
  </si>
  <si>
    <t>GA</t>
  </si>
  <si>
    <t>rectangle</t>
  </si>
  <si>
    <t>IN</t>
  </si>
  <si>
    <t>TL</t>
  </si>
  <si>
    <t>same row -&gt; left</t>
  </si>
  <si>
    <t>ST</t>
  </si>
  <si>
    <t>MZ</t>
  </si>
  <si>
    <t>RU</t>
  </si>
  <si>
    <t>CL</t>
  </si>
  <si>
    <t>same col -&gt; up</t>
  </si>
  <si>
    <t>ME</t>
  </si>
  <si>
    <t>RQ</t>
  </si>
  <si>
    <t>NT</t>
  </si>
  <si>
    <t>XX</t>
  </si>
  <si>
    <t>WW</t>
  </si>
  <si>
    <t>(Key: MONARCHY)</t>
  </si>
  <si>
    <t>Frekuensi</t>
  </si>
  <si>
    <t>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</si>
</sst>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Analisis Frekuensi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Frequency!$B$1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Frequency!$A$2:$A$19</c:f>
              <c:strCache>
                <c:ptCount val="18"/>
                <c:pt idx="0">
                  <c:v>B</c:v>
                </c:pt>
                <c:pt idx="1">
                  <c:v>D</c:v>
                </c:pt>
                <c:pt idx="2">
                  <c:v>E</c:v>
                </c:pt>
                <c:pt idx="3">
                  <c:v>F</c:v>
                </c:pt>
                <c:pt idx="4">
                  <c:v>G</c:v>
                </c:pt>
                <c:pt idx="5">
                  <c:v>I</c:v>
                </c:pt>
                <c:pt idx="6">
                  <c:v>J</c:v>
                </c:pt>
                <c:pt idx="7">
                  <c:v>K</c:v>
                </c:pt>
                <c:pt idx="8">
                  <c:v>M</c:v>
                </c:pt>
                <c:pt idx="9">
                  <c:v>N</c:v>
                </c:pt>
                <c:pt idx="10">
                  <c:v>O</c:v>
                </c:pt>
                <c:pt idx="11">
                  <c:v>Q</c:v>
                </c:pt>
                <c:pt idx="12">
                  <c:v>R</c:v>
                </c:pt>
                <c:pt idx="13">
                  <c:v>T</c:v>
                </c:pt>
                <c:pt idx="14">
                  <c:v>U</c:v>
                </c:pt>
                <c:pt idx="15">
                  <c:v>V</c:v>
                </c:pt>
                <c:pt idx="16">
                  <c:v>X</c:v>
                </c:pt>
                <c:pt idx="17">
                  <c:v>Z</c:v>
                </c:pt>
              </c:strCache>
            </c:strRef>
          </c:cat>
          <c:val>
            <c:numRef>
              <c:f>Frequency!$B$2:$B$19</c:f>
              <c:numCache>
                <c:formatCode>0</c:formatCode>
                <c:ptCount val="18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6</c:v>
                </c:pt>
                <c:pt idx="14">
                  <c:v>5</c:v>
                </c:pt>
                <c:pt idx="15">
                  <c:v>2</c:v>
                </c:pt>
                <c:pt idx="16">
                  <c:v>6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3-43BB-9E3A-A239C2BD9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4540160"/>
        <c:axId val="1084793904"/>
      </c:barChart>
      <c:lineChart>
        <c:grouping val="standard"/>
        <c:varyColors val="0"/>
        <c:ser>
          <c:idx val="1"/>
          <c:order val="1"/>
          <c:tx>
            <c:strRef>
              <c:f>Frequency!$C$1</c:f>
              <c:strCache>
                <c:ptCount val="1"/>
                <c:pt idx="0">
                  <c:v>Frekuensi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Frequency!$A$2:$A$19</c:f>
              <c:strCache>
                <c:ptCount val="18"/>
                <c:pt idx="0">
                  <c:v>B</c:v>
                </c:pt>
                <c:pt idx="1">
                  <c:v>D</c:v>
                </c:pt>
                <c:pt idx="2">
                  <c:v>E</c:v>
                </c:pt>
                <c:pt idx="3">
                  <c:v>F</c:v>
                </c:pt>
                <c:pt idx="4">
                  <c:v>G</c:v>
                </c:pt>
                <c:pt idx="5">
                  <c:v>I</c:v>
                </c:pt>
                <c:pt idx="6">
                  <c:v>J</c:v>
                </c:pt>
                <c:pt idx="7">
                  <c:v>K</c:v>
                </c:pt>
                <c:pt idx="8">
                  <c:v>M</c:v>
                </c:pt>
                <c:pt idx="9">
                  <c:v>N</c:v>
                </c:pt>
                <c:pt idx="10">
                  <c:v>O</c:v>
                </c:pt>
                <c:pt idx="11">
                  <c:v>Q</c:v>
                </c:pt>
                <c:pt idx="12">
                  <c:v>R</c:v>
                </c:pt>
                <c:pt idx="13">
                  <c:v>T</c:v>
                </c:pt>
                <c:pt idx="14">
                  <c:v>U</c:v>
                </c:pt>
                <c:pt idx="15">
                  <c:v>V</c:v>
                </c:pt>
                <c:pt idx="16">
                  <c:v>X</c:v>
                </c:pt>
                <c:pt idx="17">
                  <c:v>Z</c:v>
                </c:pt>
              </c:strCache>
            </c:strRef>
          </c:cat>
          <c:val>
            <c:numRef>
              <c:f>Frequency!$C$2:$C$19</c:f>
              <c:numCache>
                <c:formatCode>General</c:formatCode>
                <c:ptCount val="18"/>
                <c:pt idx="0">
                  <c:v>3.0769230769230771</c:v>
                </c:pt>
                <c:pt idx="1">
                  <c:v>1.5384615384615385</c:v>
                </c:pt>
                <c:pt idx="2">
                  <c:v>4.6153846153846159</c:v>
                </c:pt>
                <c:pt idx="3">
                  <c:v>7.6923076923076925</c:v>
                </c:pt>
                <c:pt idx="4">
                  <c:v>7.6923076923076925</c:v>
                </c:pt>
                <c:pt idx="5">
                  <c:v>6.1538461538461542</c:v>
                </c:pt>
                <c:pt idx="6">
                  <c:v>6.1538461538461542</c:v>
                </c:pt>
                <c:pt idx="7">
                  <c:v>4.6153846153846159</c:v>
                </c:pt>
                <c:pt idx="8">
                  <c:v>7.6923076923076925</c:v>
                </c:pt>
                <c:pt idx="9">
                  <c:v>4.6153846153846159</c:v>
                </c:pt>
                <c:pt idx="10">
                  <c:v>1.5384615384615385</c:v>
                </c:pt>
                <c:pt idx="11">
                  <c:v>4.6153846153846159</c:v>
                </c:pt>
                <c:pt idx="12">
                  <c:v>3.0769230769230771</c:v>
                </c:pt>
                <c:pt idx="13">
                  <c:v>9.2307692307692317</c:v>
                </c:pt>
                <c:pt idx="14">
                  <c:v>7.6923076923076925</c:v>
                </c:pt>
                <c:pt idx="15">
                  <c:v>3.0769230769230771</c:v>
                </c:pt>
                <c:pt idx="16">
                  <c:v>9.2307692307692317</c:v>
                </c:pt>
                <c:pt idx="17">
                  <c:v>7.6923076923076925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3-43BB-9E3A-A239C2BD9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540160"/>
        <c:axId val="1084793904"/>
      </c:lineChart>
      <c:catAx>
        <c:axId val="128454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93904"/>
        <c:crosses val="autoZero"/>
        <c:auto val="1"/>
        <c:lblAlgn val="ctr"/>
        <c:lblOffset val="100"/>
        <c:noMultiLvlLbl val="0"/>
      </c:catAx>
      <c:valAx>
        <c:axId val="108479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54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280987</xdr:colOff>
      <xdr:row>0</xdr:row>
      <xdr:rowOff>128587</xdr:rowOff>
    </xdr:from>
    <xdr:to>
      <xdr:col>10</xdr:col>
      <xdr:colOff>585787</xdr:colOff>
      <xdr:row>15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A97E1D-23AC-45ED-9597-955F19015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="85" zoomScaleNormal="85" workbookViewId="0">
      <selection activeCell="A20" sqref="A20:G20"/>
    </sheetView>
  </sheetViews>
  <sheetFormatPr defaultRowHeight="15" x14ac:dyDescent="0.25"/>
  <cols>
    <col min="1" max="1" width="5.140625" customWidth="1"/>
    <col min="2" max="2" width="16.42578125" customWidth="1"/>
    <col min="3" max="3" width="7.28515625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12.140625" bestFit="1" customWidth="1"/>
    <col min="8" max="8" width="23.140625" customWidth="1"/>
  </cols>
  <sheetData>
    <row r="1" spans="1:8" x14ac:dyDescent="0.25">
      <c r="A1" s="2" t="s">
        <v>0</v>
      </c>
      <c r="B1" s="2" t="s">
        <v>41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42</v>
      </c>
    </row>
    <row r="2" spans="1:8" x14ac:dyDescent="0.25">
      <c r="A2" s="1">
        <v>1</v>
      </c>
      <c r="B2" s="1" t="s">
        <v>6</v>
      </c>
      <c r="C2" s="1">
        <v>18</v>
      </c>
      <c r="D2" s="1" t="s">
        <v>7</v>
      </c>
      <c r="E2" s="1">
        <v>11</v>
      </c>
      <c r="F2" s="1">
        <f>C2+E2</f>
        <v>29</v>
      </c>
      <c r="G2" s="1">
        <f>MOD(F2,26)</f>
        <v>3</v>
      </c>
      <c r="H2" s="1" t="s">
        <v>8</v>
      </c>
    </row>
    <row r="3" spans="1:8" x14ac:dyDescent="0.25">
      <c r="A3" s="1">
        <v>2</v>
      </c>
      <c r="B3" s="1" t="s">
        <v>9</v>
      </c>
      <c r="C3" s="1">
        <v>4</v>
      </c>
      <c r="D3" s="1" t="s">
        <v>9</v>
      </c>
      <c r="E3" s="1">
        <v>4</v>
      </c>
      <c r="F3" s="1">
        <f t="shared" ref="F3:F19" si="0">C3+E3</f>
        <v>8</v>
      </c>
      <c r="G3" s="1">
        <f t="shared" ref="G3:G19" si="1">MOD(F3,26)</f>
        <v>8</v>
      </c>
      <c r="H3" s="1" t="s">
        <v>10</v>
      </c>
    </row>
    <row r="4" spans="1:8" x14ac:dyDescent="0.25">
      <c r="A4" s="1">
        <v>3</v>
      </c>
      <c r="B4" s="1" t="s">
        <v>11</v>
      </c>
      <c r="C4" s="1">
        <v>2</v>
      </c>
      <c r="D4" s="1" t="s">
        <v>12</v>
      </c>
      <c r="E4" s="1">
        <v>12</v>
      </c>
      <c r="F4" s="1">
        <f t="shared" si="0"/>
        <v>14</v>
      </c>
      <c r="G4" s="1">
        <f t="shared" si="1"/>
        <v>14</v>
      </c>
      <c r="H4" s="1" t="s">
        <v>13</v>
      </c>
    </row>
    <row r="5" spans="1:8" x14ac:dyDescent="0.25">
      <c r="A5" s="1">
        <v>4</v>
      </c>
      <c r="B5" s="1" t="s">
        <v>14</v>
      </c>
      <c r="C5" s="1">
        <v>20</v>
      </c>
      <c r="D5" s="1" t="s">
        <v>13</v>
      </c>
      <c r="E5" s="1">
        <v>14</v>
      </c>
      <c r="F5" s="1">
        <f t="shared" si="0"/>
        <v>34</v>
      </c>
      <c r="G5" s="1">
        <f t="shared" si="1"/>
        <v>8</v>
      </c>
      <c r="H5" s="1" t="s">
        <v>10</v>
      </c>
    </row>
    <row r="6" spans="1:8" x14ac:dyDescent="0.25">
      <c r="A6" s="1">
        <v>5</v>
      </c>
      <c r="B6" s="1" t="s">
        <v>15</v>
      </c>
      <c r="C6" s="1">
        <v>17</v>
      </c>
      <c r="D6" s="1" t="s">
        <v>16</v>
      </c>
      <c r="E6" s="1">
        <v>13</v>
      </c>
      <c r="F6" s="1">
        <f t="shared" si="0"/>
        <v>30</v>
      </c>
      <c r="G6" s="1">
        <f t="shared" si="1"/>
        <v>4</v>
      </c>
      <c r="H6" s="1" t="s">
        <v>9</v>
      </c>
    </row>
    <row r="7" spans="1:8" x14ac:dyDescent="0.25">
      <c r="A7" s="1">
        <v>6</v>
      </c>
      <c r="B7" s="1" t="s">
        <v>10</v>
      </c>
      <c r="C7" s="1">
        <v>8</v>
      </c>
      <c r="D7" s="1" t="s">
        <v>7</v>
      </c>
      <c r="E7" s="1">
        <v>11</v>
      </c>
      <c r="F7" s="1">
        <f t="shared" si="0"/>
        <v>19</v>
      </c>
      <c r="G7" s="1">
        <f t="shared" si="1"/>
        <v>19</v>
      </c>
      <c r="H7" s="1" t="s">
        <v>17</v>
      </c>
    </row>
    <row r="8" spans="1:8" x14ac:dyDescent="0.25">
      <c r="A8" s="1">
        <v>7</v>
      </c>
      <c r="B8" s="1" t="s">
        <v>17</v>
      </c>
      <c r="C8" s="1">
        <v>19</v>
      </c>
      <c r="D8" s="1" t="s">
        <v>9</v>
      </c>
      <c r="E8" s="1">
        <v>4</v>
      </c>
      <c r="F8" s="1">
        <f t="shared" si="0"/>
        <v>23</v>
      </c>
      <c r="G8" s="1">
        <f t="shared" si="1"/>
        <v>23</v>
      </c>
      <c r="H8" s="1" t="s">
        <v>18</v>
      </c>
    </row>
    <row r="9" spans="1:8" x14ac:dyDescent="0.25">
      <c r="A9" s="1">
        <v>8</v>
      </c>
      <c r="B9" s="1" t="s">
        <v>19</v>
      </c>
      <c r="C9" s="1">
        <v>24</v>
      </c>
      <c r="D9" s="1" t="s">
        <v>12</v>
      </c>
      <c r="E9" s="1">
        <v>12</v>
      </c>
      <c r="F9" s="1">
        <f t="shared" si="0"/>
        <v>36</v>
      </c>
      <c r="G9" s="1">
        <f t="shared" si="1"/>
        <v>10</v>
      </c>
      <c r="H9" s="1" t="s">
        <v>20</v>
      </c>
    </row>
    <row r="10" spans="1:8" x14ac:dyDescent="0.25">
      <c r="A10" s="1">
        <v>9</v>
      </c>
      <c r="B10" s="1" t="s">
        <v>10</v>
      </c>
      <c r="C10" s="1">
        <v>8</v>
      </c>
      <c r="D10" s="1" t="s">
        <v>13</v>
      </c>
      <c r="E10" s="1">
        <v>14</v>
      </c>
      <c r="F10" s="1">
        <f t="shared" si="0"/>
        <v>22</v>
      </c>
      <c r="G10" s="1">
        <f t="shared" si="1"/>
        <v>22</v>
      </c>
      <c r="H10" s="1" t="s">
        <v>21</v>
      </c>
    </row>
    <row r="11" spans="1:8" x14ac:dyDescent="0.25">
      <c r="A11" s="1">
        <v>10</v>
      </c>
      <c r="B11" s="1" t="s">
        <v>6</v>
      </c>
      <c r="C11" s="1">
        <v>18</v>
      </c>
      <c r="D11" s="1" t="s">
        <v>16</v>
      </c>
      <c r="E11" s="1">
        <v>13</v>
      </c>
      <c r="F11" s="1">
        <f t="shared" si="0"/>
        <v>31</v>
      </c>
      <c r="G11" s="1">
        <f t="shared" si="1"/>
        <v>5</v>
      </c>
      <c r="H11" s="1" t="s">
        <v>22</v>
      </c>
    </row>
    <row r="12" spans="1:8" x14ac:dyDescent="0.25">
      <c r="A12" s="1">
        <v>11</v>
      </c>
      <c r="B12" s="1" t="s">
        <v>23</v>
      </c>
      <c r="C12" s="1">
        <v>15</v>
      </c>
      <c r="D12" s="1" t="s">
        <v>7</v>
      </c>
      <c r="E12" s="1">
        <v>11</v>
      </c>
      <c r="F12" s="1">
        <f t="shared" si="0"/>
        <v>26</v>
      </c>
      <c r="G12" s="1">
        <f t="shared" si="1"/>
        <v>0</v>
      </c>
      <c r="H12" s="1" t="s">
        <v>24</v>
      </c>
    </row>
    <row r="13" spans="1:8" x14ac:dyDescent="0.25">
      <c r="A13" s="1">
        <v>12</v>
      </c>
      <c r="B13" s="1" t="s">
        <v>15</v>
      </c>
      <c r="C13" s="1">
        <v>17</v>
      </c>
      <c r="D13" s="1" t="s">
        <v>9</v>
      </c>
      <c r="E13" s="1">
        <v>4</v>
      </c>
      <c r="F13" s="1">
        <f t="shared" si="0"/>
        <v>21</v>
      </c>
      <c r="G13" s="1">
        <f t="shared" si="1"/>
        <v>21</v>
      </c>
      <c r="H13" s="1" t="s">
        <v>25</v>
      </c>
    </row>
    <row r="14" spans="1:8" x14ac:dyDescent="0.25">
      <c r="A14" s="1">
        <v>13</v>
      </c>
      <c r="B14" s="1" t="s">
        <v>10</v>
      </c>
      <c r="C14" s="1">
        <v>8</v>
      </c>
      <c r="D14" s="1" t="s">
        <v>12</v>
      </c>
      <c r="E14" s="1">
        <v>12</v>
      </c>
      <c r="F14" s="1">
        <f t="shared" si="0"/>
        <v>20</v>
      </c>
      <c r="G14" s="1">
        <f t="shared" si="1"/>
        <v>20</v>
      </c>
      <c r="H14" s="1" t="s">
        <v>14</v>
      </c>
    </row>
    <row r="15" spans="1:8" x14ac:dyDescent="0.25">
      <c r="A15" s="1">
        <v>14</v>
      </c>
      <c r="B15" s="1" t="s">
        <v>13</v>
      </c>
      <c r="C15" s="1">
        <v>14</v>
      </c>
      <c r="D15" s="1" t="s">
        <v>13</v>
      </c>
      <c r="E15" s="1">
        <v>14</v>
      </c>
      <c r="F15" s="1">
        <f t="shared" si="0"/>
        <v>28</v>
      </c>
      <c r="G15" s="1">
        <f t="shared" si="1"/>
        <v>2</v>
      </c>
      <c r="H15" s="1" t="s">
        <v>11</v>
      </c>
    </row>
    <row r="16" spans="1:8" x14ac:dyDescent="0.25">
      <c r="A16" s="1">
        <v>15</v>
      </c>
      <c r="B16" s="1" t="s">
        <v>15</v>
      </c>
      <c r="C16" s="1">
        <v>17</v>
      </c>
      <c r="D16" s="1" t="s">
        <v>16</v>
      </c>
      <c r="E16" s="1">
        <v>13</v>
      </c>
      <c r="F16" s="1">
        <f t="shared" si="0"/>
        <v>30</v>
      </c>
      <c r="G16" s="1">
        <f t="shared" si="1"/>
        <v>4</v>
      </c>
      <c r="H16" s="1" t="s">
        <v>9</v>
      </c>
    </row>
    <row r="17" spans="1:8" x14ac:dyDescent="0.25">
      <c r="A17" s="1">
        <v>16</v>
      </c>
      <c r="B17" s="1" t="s">
        <v>10</v>
      </c>
      <c r="C17" s="1">
        <v>8</v>
      </c>
      <c r="D17" s="1" t="s">
        <v>7</v>
      </c>
      <c r="E17" s="1">
        <v>11</v>
      </c>
      <c r="F17" s="1">
        <f t="shared" si="0"/>
        <v>19</v>
      </c>
      <c r="G17" s="1">
        <f t="shared" si="1"/>
        <v>19</v>
      </c>
      <c r="H17" s="1" t="s">
        <v>17</v>
      </c>
    </row>
    <row r="18" spans="1:8" x14ac:dyDescent="0.25">
      <c r="A18" s="1">
        <v>17</v>
      </c>
      <c r="B18" s="1" t="s">
        <v>17</v>
      </c>
      <c r="C18" s="1">
        <v>19</v>
      </c>
      <c r="D18" s="1" t="s">
        <v>9</v>
      </c>
      <c r="E18" s="1">
        <v>4</v>
      </c>
      <c r="F18" s="1">
        <f t="shared" si="0"/>
        <v>23</v>
      </c>
      <c r="G18" s="1">
        <f t="shared" si="1"/>
        <v>23</v>
      </c>
      <c r="H18" s="1" t="s">
        <v>18</v>
      </c>
    </row>
    <row r="19" spans="1:8" x14ac:dyDescent="0.25">
      <c r="A19" s="1">
        <v>18</v>
      </c>
      <c r="B19" s="1" t="s">
        <v>19</v>
      </c>
      <c r="C19" s="1">
        <v>24</v>
      </c>
      <c r="D19" s="1" t="s">
        <v>12</v>
      </c>
      <c r="E19" s="1">
        <v>12</v>
      </c>
      <c r="F19" s="1">
        <f t="shared" si="0"/>
        <v>36</v>
      </c>
      <c r="G19" s="1">
        <f t="shared" si="1"/>
        <v>10</v>
      </c>
      <c r="H19" s="1" t="s">
        <v>20</v>
      </c>
    </row>
    <row r="20" spans="1:8" x14ac:dyDescent="0.25">
      <c r="A20" s="12" t="s">
        <v>44</v>
      </c>
      <c r="B20" s="12"/>
      <c r="C20" s="12"/>
      <c r="D20" s="12"/>
      <c r="E20" s="12"/>
      <c r="F20" s="12"/>
      <c r="G20" s="12"/>
      <c r="H20" s="5" t="s">
        <v>26</v>
      </c>
    </row>
  </sheetData>
  <mergeCells count="1">
    <mergeCell ref="A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opLeftCell="A13" workbookViewId="0">
      <selection activeCell="K5" sqref="K5"/>
    </sheetView>
  </sheetViews>
  <sheetFormatPr defaultRowHeight="15" x14ac:dyDescent="0.25"/>
  <cols>
    <col min="1" max="1" width="5" customWidth="1"/>
    <col min="2" max="2" width="3.85546875" customWidth="1"/>
    <col min="3" max="3" width="4.28515625" customWidth="1"/>
    <col min="4" max="4" width="4.140625" customWidth="1"/>
    <col min="5" max="5" width="4.85546875" customWidth="1"/>
    <col min="8" max="8" width="22.5703125" customWidth="1"/>
  </cols>
  <sheetData>
    <row r="1" spans="1:9" x14ac:dyDescent="0.25">
      <c r="A1" s="12" t="s">
        <v>62</v>
      </c>
      <c r="B1" s="12"/>
      <c r="C1" s="12"/>
      <c r="D1" s="12"/>
      <c r="E1" s="12"/>
      <c r="G1" s="8" t="s">
        <v>32</v>
      </c>
      <c r="H1" s="8" t="s">
        <v>64</v>
      </c>
      <c r="I1" s="8" t="s">
        <v>43</v>
      </c>
    </row>
    <row r="2" spans="1:9" x14ac:dyDescent="0.25">
      <c r="A2" s="1" t="s">
        <v>12</v>
      </c>
      <c r="B2" s="1" t="s">
        <v>13</v>
      </c>
      <c r="C2" s="1" t="s">
        <v>16</v>
      </c>
      <c r="D2" s="1" t="s">
        <v>24</v>
      </c>
      <c r="E2" s="1" t="s">
        <v>15</v>
      </c>
      <c r="G2" s="6" t="s">
        <v>47</v>
      </c>
      <c r="H2" s="6" t="s">
        <v>48</v>
      </c>
      <c r="I2" s="6" t="s">
        <v>49</v>
      </c>
    </row>
    <row r="3" spans="1:9" x14ac:dyDescent="0.25">
      <c r="A3" s="1" t="s">
        <v>11</v>
      </c>
      <c r="B3" s="1" t="s">
        <v>27</v>
      </c>
      <c r="C3" s="1" t="s">
        <v>19</v>
      </c>
      <c r="D3" s="1" t="s">
        <v>28</v>
      </c>
      <c r="E3" s="1" t="s">
        <v>8</v>
      </c>
      <c r="G3" s="6" t="s">
        <v>50</v>
      </c>
      <c r="H3" s="6" t="s">
        <v>51</v>
      </c>
      <c r="I3" s="6" t="s">
        <v>52</v>
      </c>
    </row>
    <row r="4" spans="1:9" x14ac:dyDescent="0.25">
      <c r="A4" s="1" t="s">
        <v>9</v>
      </c>
      <c r="B4" s="1" t="s">
        <v>22</v>
      </c>
      <c r="C4" s="1" t="s">
        <v>29</v>
      </c>
      <c r="D4" s="1" t="s">
        <v>10</v>
      </c>
      <c r="E4" s="1" t="s">
        <v>20</v>
      </c>
      <c r="G4" s="6" t="s">
        <v>53</v>
      </c>
      <c r="H4" s="6" t="s">
        <v>48</v>
      </c>
      <c r="I4" s="6" t="s">
        <v>54</v>
      </c>
    </row>
    <row r="5" spans="1:9" x14ac:dyDescent="0.25">
      <c r="A5" s="1" t="s">
        <v>7</v>
      </c>
      <c r="B5" s="1" t="s">
        <v>23</v>
      </c>
      <c r="C5" s="1" t="s">
        <v>30</v>
      </c>
      <c r="D5" s="1" t="s">
        <v>6</v>
      </c>
      <c r="E5" s="1" t="s">
        <v>17</v>
      </c>
      <c r="G5" s="6" t="s">
        <v>55</v>
      </c>
      <c r="H5" s="6" t="s">
        <v>56</v>
      </c>
      <c r="I5" s="6" t="s">
        <v>57</v>
      </c>
    </row>
    <row r="6" spans="1:9" x14ac:dyDescent="0.25">
      <c r="A6" s="1" t="s">
        <v>14</v>
      </c>
      <c r="B6" s="1" t="s">
        <v>25</v>
      </c>
      <c r="C6" s="1" t="s">
        <v>21</v>
      </c>
      <c r="D6" s="1" t="s">
        <v>18</v>
      </c>
      <c r="E6" s="1" t="s">
        <v>31</v>
      </c>
      <c r="G6" s="6" t="s">
        <v>58</v>
      </c>
      <c r="H6" s="6" t="s">
        <v>48</v>
      </c>
      <c r="I6" s="6" t="s">
        <v>59</v>
      </c>
    </row>
    <row r="7" spans="1:9" x14ac:dyDescent="0.25">
      <c r="A7" s="3"/>
      <c r="B7" s="3"/>
      <c r="C7" s="3"/>
      <c r="D7" s="3"/>
      <c r="E7" s="3"/>
      <c r="G7" s="6" t="s">
        <v>60</v>
      </c>
      <c r="H7" s="6" t="s">
        <v>51</v>
      </c>
      <c r="I7" s="6" t="s">
        <v>61</v>
      </c>
    </row>
    <row r="8" spans="1:9" x14ac:dyDescent="0.25">
      <c r="A8" s="9"/>
      <c r="B8" s="9"/>
      <c r="C8" s="9"/>
      <c r="D8" s="10"/>
      <c r="E8" s="3"/>
    </row>
    <row r="9" spans="1:9" x14ac:dyDescent="0.25">
      <c r="A9" s="11"/>
      <c r="B9" s="11"/>
      <c r="C9" s="11"/>
      <c r="D9" s="11"/>
    </row>
    <row r="10" spans="1:9" x14ac:dyDescent="0.25">
      <c r="A10" s="11"/>
      <c r="B10" s="11"/>
      <c r="C10" s="11"/>
      <c r="D10" s="11"/>
    </row>
    <row r="11" spans="1:9" x14ac:dyDescent="0.25">
      <c r="A11" s="11"/>
      <c r="B11" s="11"/>
      <c r="C11" s="11"/>
      <c r="D11" s="11"/>
    </row>
    <row r="12" spans="1:9" x14ac:dyDescent="0.25">
      <c r="A12" s="11"/>
      <c r="B12" s="11"/>
      <c r="C12" s="11"/>
      <c r="D12" s="11"/>
    </row>
    <row r="13" spans="1:9" x14ac:dyDescent="0.25">
      <c r="A13" s="11"/>
      <c r="B13" s="11"/>
      <c r="C13" s="11"/>
      <c r="D13" s="11"/>
    </row>
    <row r="14" spans="1:9" x14ac:dyDescent="0.25">
      <c r="A14" s="11"/>
      <c r="B14" s="11"/>
      <c r="C14" s="11"/>
      <c r="D14" s="11"/>
    </row>
    <row r="15" spans="1:9" x14ac:dyDescent="0.25">
      <c r="A15" s="11"/>
      <c r="B15" s="11"/>
      <c r="C15" s="11"/>
      <c r="D15" s="11"/>
    </row>
  </sheetData>
  <mergeCells count="1">
    <mergeCell ref="A1:E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zoomScale="80" workbookViewId="0">
      <selection activeCell="H21" sqref="H21"/>
    </sheetView>
  </sheetViews>
  <sheetFormatPr defaultRowHeight="15" x14ac:dyDescent="0.25"/>
  <cols>
    <col min="3" max="3" width="15" customWidth="1"/>
  </cols>
  <sheetData>
    <row r="1" spans="1:3" x14ac:dyDescent="0.25">
      <c r="A1" s="4" t="s">
        <v>33</v>
      </c>
      <c r="B1" s="4" t="s">
        <v>34</v>
      </c>
      <c r="C1" s="4" t="s">
        <v>63</v>
      </c>
    </row>
    <row r="2" spans="1:3" x14ac:dyDescent="0.25">
      <c r="A2" s="7" t="s">
        <v>28</v>
      </c>
      <c r="B2" s="7">
        <v>2</v>
      </c>
      <c r="C2" s="1">
        <f>B2/SUM($B$2:$B$19)*100</f>
        <v>3.0769230769230771</v>
      </c>
    </row>
    <row r="3" spans="1:3" x14ac:dyDescent="0.25">
      <c r="A3" s="7" t="s">
        <v>8</v>
      </c>
      <c r="B3" s="7">
        <v>1</v>
      </c>
      <c r="C3" s="1">
        <f t="shared" ref="C3:C19" si="0">B3/SUM($B$2:$B$19)*100</f>
        <v>1.5384615384615385</v>
      </c>
    </row>
    <row r="4" spans="1:3" x14ac:dyDescent="0.25">
      <c r="A4" s="7" t="s">
        <v>9</v>
      </c>
      <c r="B4" s="7">
        <v>3</v>
      </c>
      <c r="C4" s="1">
        <f t="shared" si="0"/>
        <v>4.6153846153846159</v>
      </c>
    </row>
    <row r="5" spans="1:3" x14ac:dyDescent="0.25">
      <c r="A5" s="7" t="s">
        <v>22</v>
      </c>
      <c r="B5" s="7">
        <v>5</v>
      </c>
      <c r="C5" s="1">
        <f t="shared" si="0"/>
        <v>7.6923076923076925</v>
      </c>
    </row>
    <row r="6" spans="1:3" x14ac:dyDescent="0.25">
      <c r="A6" s="7" t="s">
        <v>29</v>
      </c>
      <c r="B6" s="7">
        <v>5</v>
      </c>
      <c r="C6" s="1">
        <f t="shared" si="0"/>
        <v>7.6923076923076925</v>
      </c>
    </row>
    <row r="7" spans="1:3" x14ac:dyDescent="0.25">
      <c r="A7" s="7" t="s">
        <v>10</v>
      </c>
      <c r="B7" s="7">
        <v>4</v>
      </c>
      <c r="C7" s="1">
        <f t="shared" si="0"/>
        <v>6.1538461538461542</v>
      </c>
    </row>
    <row r="8" spans="1:3" x14ac:dyDescent="0.25">
      <c r="A8" s="7" t="s">
        <v>35</v>
      </c>
      <c r="B8" s="7">
        <v>4</v>
      </c>
      <c r="C8" s="1">
        <f t="shared" si="0"/>
        <v>6.1538461538461542</v>
      </c>
    </row>
    <row r="9" spans="1:3" x14ac:dyDescent="0.25">
      <c r="A9" s="7" t="s">
        <v>20</v>
      </c>
      <c r="B9" s="7">
        <v>3</v>
      </c>
      <c r="C9" s="1">
        <f t="shared" si="0"/>
        <v>4.6153846153846159</v>
      </c>
    </row>
    <row r="10" spans="1:3" x14ac:dyDescent="0.25">
      <c r="A10" s="7" t="s">
        <v>12</v>
      </c>
      <c r="B10" s="7">
        <v>5</v>
      </c>
      <c r="C10" s="1">
        <f t="shared" si="0"/>
        <v>7.6923076923076925</v>
      </c>
    </row>
    <row r="11" spans="1:3" x14ac:dyDescent="0.25">
      <c r="A11" s="7" t="s">
        <v>16</v>
      </c>
      <c r="B11" s="7">
        <v>3</v>
      </c>
      <c r="C11" s="1">
        <f t="shared" si="0"/>
        <v>4.6153846153846159</v>
      </c>
    </row>
    <row r="12" spans="1:3" x14ac:dyDescent="0.25">
      <c r="A12" s="7" t="s">
        <v>13</v>
      </c>
      <c r="B12" s="7">
        <v>1</v>
      </c>
      <c r="C12" s="1">
        <f t="shared" si="0"/>
        <v>1.5384615384615385</v>
      </c>
    </row>
    <row r="13" spans="1:3" x14ac:dyDescent="0.25">
      <c r="A13" s="7" t="s">
        <v>30</v>
      </c>
      <c r="B13" s="7">
        <v>3</v>
      </c>
      <c r="C13" s="1">
        <f t="shared" si="0"/>
        <v>4.6153846153846159</v>
      </c>
    </row>
    <row r="14" spans="1:3" x14ac:dyDescent="0.25">
      <c r="A14" s="7" t="s">
        <v>15</v>
      </c>
      <c r="B14" s="7">
        <v>2</v>
      </c>
      <c r="C14" s="1">
        <f t="shared" si="0"/>
        <v>3.0769230769230771</v>
      </c>
    </row>
    <row r="15" spans="1:3" x14ac:dyDescent="0.25">
      <c r="A15" s="7" t="s">
        <v>17</v>
      </c>
      <c r="B15" s="7">
        <v>6</v>
      </c>
      <c r="C15" s="1">
        <f t="shared" si="0"/>
        <v>9.2307692307692317</v>
      </c>
    </row>
    <row r="16" spans="1:3" x14ac:dyDescent="0.25">
      <c r="A16" s="7" t="s">
        <v>14</v>
      </c>
      <c r="B16" s="7">
        <v>5</v>
      </c>
      <c r="C16" s="1">
        <f t="shared" si="0"/>
        <v>7.6923076923076925</v>
      </c>
    </row>
    <row r="17" spans="1:3" x14ac:dyDescent="0.25">
      <c r="A17" s="7" t="s">
        <v>25</v>
      </c>
      <c r="B17" s="7">
        <v>2</v>
      </c>
      <c r="C17" s="1">
        <f t="shared" si="0"/>
        <v>3.0769230769230771</v>
      </c>
    </row>
    <row r="18" spans="1:3" x14ac:dyDescent="0.25">
      <c r="A18" s="7" t="s">
        <v>18</v>
      </c>
      <c r="B18" s="7">
        <v>6</v>
      </c>
      <c r="C18" s="1">
        <f t="shared" si="0"/>
        <v>9.2307692307692317</v>
      </c>
    </row>
    <row r="19" spans="1:3" x14ac:dyDescent="0.25">
      <c r="A19" s="7" t="s">
        <v>31</v>
      </c>
      <c r="B19" s="7">
        <v>5</v>
      </c>
      <c r="C19" s="1">
        <f t="shared" si="0"/>
        <v>7.6923076923076925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tabSelected="1" zoomScale="80" zoomScaleNormal="80" workbookViewId="0">
      <selection activeCell="N25" sqref="N25"/>
    </sheetView>
  </sheetViews>
  <sheetFormatPr defaultRowHeight="15" x14ac:dyDescent="0.25"/>
  <cols>
    <col min="1" max="1" width="7.5703125" customWidth="1"/>
    <col min="2" max="2" width="7.7109375" customWidth="1"/>
    <col min="4" max="4" width="4.140625" bestFit="1" customWidth="1"/>
    <col min="5" max="5" width="11" customWidth="1"/>
    <col min="6" max="6" width="7.28515625" bestFit="1" customWidth="1"/>
    <col min="7" max="7" width="12.85546875" customWidth="1"/>
    <col min="8" max="8" width="7.28515625" bestFit="1" customWidth="1"/>
    <col min="9" max="9" width="11.7109375" customWidth="1"/>
    <col min="10" max="10" width="11.85546875" bestFit="1" customWidth="1"/>
    <col min="11" max="11" width="18.85546875" customWidth="1"/>
  </cols>
  <sheetData>
    <row r="1" spans="1:11" x14ac:dyDescent="0.25">
      <c r="A1" s="4" t="s">
        <v>45</v>
      </c>
      <c r="B1" s="4" t="s">
        <v>46</v>
      </c>
      <c r="D1" s="2" t="s">
        <v>0</v>
      </c>
      <c r="E1" s="2" t="s">
        <v>43</v>
      </c>
      <c r="F1" s="2" t="s">
        <v>1</v>
      </c>
      <c r="G1" s="2" t="s">
        <v>42</v>
      </c>
      <c r="H1" s="2" t="s">
        <v>36</v>
      </c>
      <c r="I1" s="2" t="s">
        <v>37</v>
      </c>
      <c r="J1" s="2" t="s">
        <v>38</v>
      </c>
      <c r="K1" s="2" t="s">
        <v>39</v>
      </c>
    </row>
    <row r="2" spans="1:11" x14ac:dyDescent="0.25">
      <c r="A2" s="1" t="s">
        <v>24</v>
      </c>
      <c r="B2" s="1">
        <v>0</v>
      </c>
      <c r="D2" s="1">
        <v>1</v>
      </c>
      <c r="E2" s="1" t="s">
        <v>12</v>
      </c>
      <c r="F2" s="1">
        <v>12</v>
      </c>
      <c r="G2" s="1" t="s">
        <v>17</v>
      </c>
      <c r="H2" s="1">
        <v>19</v>
      </c>
      <c r="I2" s="1">
        <f>H2-F2</f>
        <v>7</v>
      </c>
      <c r="J2" s="1">
        <f>MOD(I2,26)</f>
        <v>7</v>
      </c>
      <c r="K2" s="1" t="s">
        <v>27</v>
      </c>
    </row>
    <row r="3" spans="1:11" x14ac:dyDescent="0.25">
      <c r="A3" s="1" t="s">
        <v>28</v>
      </c>
      <c r="B3" s="1">
        <v>1</v>
      </c>
      <c r="D3" s="1">
        <v>2</v>
      </c>
      <c r="E3" s="1" t="s">
        <v>15</v>
      </c>
      <c r="F3" s="1">
        <v>17</v>
      </c>
      <c r="G3" s="1" t="s">
        <v>7</v>
      </c>
      <c r="H3" s="1">
        <v>11</v>
      </c>
      <c r="I3" s="1">
        <f t="shared" ref="I3:I11" si="0">H3-F3</f>
        <v>-6</v>
      </c>
      <c r="J3" s="1">
        <f t="shared" ref="J3:J11" si="1">MOD(I3,26)</f>
        <v>20</v>
      </c>
      <c r="K3" s="1" t="s">
        <v>14</v>
      </c>
    </row>
    <row r="4" spans="1:11" x14ac:dyDescent="0.25">
      <c r="A4" s="1" t="s">
        <v>11</v>
      </c>
      <c r="B4" s="1">
        <v>2</v>
      </c>
      <c r="D4" s="1">
        <v>3</v>
      </c>
      <c r="E4" s="1" t="s">
        <v>35</v>
      </c>
      <c r="F4" s="1">
        <v>9</v>
      </c>
      <c r="G4" s="1" t="s">
        <v>11</v>
      </c>
      <c r="H4" s="1">
        <v>2</v>
      </c>
      <c r="I4" s="1">
        <f t="shared" si="0"/>
        <v>-7</v>
      </c>
      <c r="J4" s="1">
        <f t="shared" si="1"/>
        <v>19</v>
      </c>
      <c r="K4" s="1" t="s">
        <v>17</v>
      </c>
    </row>
    <row r="5" spans="1:11" x14ac:dyDescent="0.25">
      <c r="A5" s="1" t="s">
        <v>8</v>
      </c>
      <c r="B5" s="1">
        <v>3</v>
      </c>
      <c r="D5" s="1">
        <v>4</v>
      </c>
      <c r="E5" s="1" t="s">
        <v>13</v>
      </c>
      <c r="F5" s="1">
        <v>14</v>
      </c>
      <c r="G5" s="1" t="s">
        <v>19</v>
      </c>
      <c r="H5" s="1">
        <v>24</v>
      </c>
      <c r="I5" s="1">
        <f t="shared" si="0"/>
        <v>10</v>
      </c>
      <c r="J5" s="1">
        <f t="shared" si="1"/>
        <v>10</v>
      </c>
      <c r="K5" s="1" t="s">
        <v>20</v>
      </c>
    </row>
    <row r="6" spans="1:11" x14ac:dyDescent="0.25">
      <c r="A6" s="1" t="s">
        <v>9</v>
      </c>
      <c r="B6" s="1">
        <v>4</v>
      </c>
      <c r="D6" s="1">
        <v>5</v>
      </c>
      <c r="E6" s="1" t="s">
        <v>27</v>
      </c>
      <c r="F6" s="1">
        <v>7</v>
      </c>
      <c r="G6" s="1" t="s">
        <v>20</v>
      </c>
      <c r="H6" s="1">
        <v>10</v>
      </c>
      <c r="I6" s="1">
        <f t="shared" si="0"/>
        <v>3</v>
      </c>
      <c r="J6" s="1">
        <f t="shared" si="1"/>
        <v>3</v>
      </c>
      <c r="K6" s="1" t="s">
        <v>8</v>
      </c>
    </row>
    <row r="7" spans="1:11" x14ac:dyDescent="0.25">
      <c r="A7" s="1" t="s">
        <v>22</v>
      </c>
      <c r="B7" s="1">
        <v>5</v>
      </c>
      <c r="D7" s="1">
        <v>6</v>
      </c>
      <c r="E7" s="1" t="s">
        <v>16</v>
      </c>
      <c r="F7" s="1">
        <v>13</v>
      </c>
      <c r="G7" s="1" t="s">
        <v>14</v>
      </c>
      <c r="H7" s="1">
        <v>20</v>
      </c>
      <c r="I7" s="1">
        <f t="shared" si="0"/>
        <v>7</v>
      </c>
      <c r="J7" s="1">
        <f t="shared" si="1"/>
        <v>7</v>
      </c>
      <c r="K7" s="1" t="s">
        <v>27</v>
      </c>
    </row>
    <row r="8" spans="1:11" x14ac:dyDescent="0.25">
      <c r="A8" s="1" t="s">
        <v>29</v>
      </c>
      <c r="B8" s="1">
        <v>6</v>
      </c>
      <c r="D8" s="1">
        <v>7</v>
      </c>
      <c r="E8" s="1" t="s">
        <v>6</v>
      </c>
      <c r="F8" s="1">
        <v>18</v>
      </c>
      <c r="G8" s="1" t="s">
        <v>12</v>
      </c>
      <c r="H8" s="1">
        <v>12</v>
      </c>
      <c r="I8" s="1">
        <f t="shared" si="0"/>
        <v>-6</v>
      </c>
      <c r="J8" s="1">
        <f t="shared" si="1"/>
        <v>20</v>
      </c>
      <c r="K8" s="1" t="s">
        <v>14</v>
      </c>
    </row>
    <row r="9" spans="1:11" x14ac:dyDescent="0.25">
      <c r="A9" s="1" t="s">
        <v>27</v>
      </c>
      <c r="B9" s="1">
        <v>7</v>
      </c>
      <c r="D9" s="1">
        <v>8</v>
      </c>
      <c r="E9" s="1" t="s">
        <v>13</v>
      </c>
      <c r="F9" s="1">
        <v>14</v>
      </c>
      <c r="G9" s="1" t="s">
        <v>29</v>
      </c>
      <c r="H9" s="1">
        <v>6</v>
      </c>
      <c r="I9" s="1">
        <f t="shared" si="0"/>
        <v>-8</v>
      </c>
      <c r="J9" s="1">
        <f t="shared" si="1"/>
        <v>18</v>
      </c>
      <c r="K9" s="1" t="s">
        <v>6</v>
      </c>
    </row>
    <row r="10" spans="1:11" x14ac:dyDescent="0.25">
      <c r="A10" s="1" t="s">
        <v>10</v>
      </c>
      <c r="B10" s="1">
        <v>8</v>
      </c>
      <c r="D10" s="1">
        <v>9</v>
      </c>
      <c r="E10" s="1" t="s">
        <v>16</v>
      </c>
      <c r="F10" s="1">
        <v>13</v>
      </c>
      <c r="G10" s="1" t="s">
        <v>8</v>
      </c>
      <c r="H10" s="1">
        <v>3</v>
      </c>
      <c r="I10" s="1">
        <f t="shared" si="0"/>
        <v>-10</v>
      </c>
      <c r="J10" s="1">
        <f t="shared" si="1"/>
        <v>16</v>
      </c>
      <c r="K10" s="1" t="s">
        <v>30</v>
      </c>
    </row>
    <row r="11" spans="1:11" x14ac:dyDescent="0.25">
      <c r="A11" s="1" t="s">
        <v>35</v>
      </c>
      <c r="B11" s="1">
        <v>9</v>
      </c>
      <c r="D11" s="1">
        <v>10</v>
      </c>
      <c r="E11" s="1" t="s">
        <v>7</v>
      </c>
      <c r="F11" s="1">
        <v>11</v>
      </c>
      <c r="G11" s="1" t="s">
        <v>22</v>
      </c>
      <c r="H11" s="1">
        <v>5</v>
      </c>
      <c r="I11" s="1">
        <f t="shared" si="0"/>
        <v>-6</v>
      </c>
      <c r="J11" s="1">
        <f t="shared" si="1"/>
        <v>20</v>
      </c>
      <c r="K11" s="1" t="s">
        <v>14</v>
      </c>
    </row>
    <row r="12" spans="1:11" x14ac:dyDescent="0.25">
      <c r="A12" s="1" t="s">
        <v>20</v>
      </c>
      <c r="B12" s="1">
        <v>10</v>
      </c>
      <c r="D12" s="12" t="s">
        <v>2</v>
      </c>
      <c r="E12" s="12"/>
      <c r="F12" s="12"/>
      <c r="G12" s="12"/>
      <c r="H12" s="12"/>
      <c r="I12" s="12"/>
      <c r="J12" s="12"/>
      <c r="K12" s="2" t="s">
        <v>40</v>
      </c>
    </row>
    <row r="13" spans="1:11" x14ac:dyDescent="0.25">
      <c r="A13" s="1" t="s">
        <v>7</v>
      </c>
      <c r="B13" s="1">
        <v>11</v>
      </c>
    </row>
    <row r="14" spans="1:11" x14ac:dyDescent="0.25">
      <c r="A14" s="1" t="s">
        <v>12</v>
      </c>
      <c r="B14" s="1">
        <v>12</v>
      </c>
    </row>
    <row r="15" spans="1:11" x14ac:dyDescent="0.25">
      <c r="A15" s="1" t="s">
        <v>16</v>
      </c>
      <c r="B15" s="1">
        <v>13</v>
      </c>
    </row>
    <row r="16" spans="1:11" x14ac:dyDescent="0.25">
      <c r="A16" s="1" t="s">
        <v>13</v>
      </c>
      <c r="B16" s="1">
        <v>14</v>
      </c>
    </row>
    <row r="17" spans="1:2" x14ac:dyDescent="0.25">
      <c r="A17" s="1" t="s">
        <v>23</v>
      </c>
      <c r="B17" s="1">
        <v>15</v>
      </c>
    </row>
    <row r="18" spans="1:2" x14ac:dyDescent="0.25">
      <c r="A18" s="1" t="s">
        <v>30</v>
      </c>
      <c r="B18" s="1">
        <v>16</v>
      </c>
    </row>
    <row r="19" spans="1:2" x14ac:dyDescent="0.25">
      <c r="A19" s="1" t="s">
        <v>15</v>
      </c>
      <c r="B19" s="1">
        <v>17</v>
      </c>
    </row>
    <row r="20" spans="1:2" x14ac:dyDescent="0.25">
      <c r="A20" s="1" t="s">
        <v>6</v>
      </c>
      <c r="B20" s="1">
        <v>18</v>
      </c>
    </row>
    <row r="21" spans="1:2" x14ac:dyDescent="0.25">
      <c r="A21" s="1" t="s">
        <v>17</v>
      </c>
      <c r="B21" s="1">
        <v>19</v>
      </c>
    </row>
    <row r="22" spans="1:2" x14ac:dyDescent="0.25">
      <c r="A22" s="1" t="s">
        <v>14</v>
      </c>
      <c r="B22" s="1">
        <v>20</v>
      </c>
    </row>
    <row r="23" spans="1:2" x14ac:dyDescent="0.25">
      <c r="A23" s="1" t="s">
        <v>25</v>
      </c>
      <c r="B23" s="1">
        <v>21</v>
      </c>
    </row>
    <row r="24" spans="1:2" x14ac:dyDescent="0.25">
      <c r="A24" s="1" t="s">
        <v>21</v>
      </c>
      <c r="B24" s="1">
        <v>22</v>
      </c>
    </row>
    <row r="25" spans="1:2" x14ac:dyDescent="0.25">
      <c r="A25" s="1" t="s">
        <v>18</v>
      </c>
      <c r="B25" s="1">
        <v>23</v>
      </c>
    </row>
    <row r="26" spans="1:2" x14ac:dyDescent="0.25">
      <c r="A26" s="1" t="s">
        <v>19</v>
      </c>
      <c r="B26" s="1">
        <v>24</v>
      </c>
    </row>
    <row r="27" spans="1:2" x14ac:dyDescent="0.25">
      <c r="A27" s="1" t="s">
        <v>31</v>
      </c>
      <c r="B27" s="1">
        <v>25</v>
      </c>
    </row>
  </sheetData>
  <mergeCells count="1">
    <mergeCell ref="D1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Vigenere</vt:lpstr>
      <vt:lpstr>Playfair</vt:lpstr>
      <vt:lpstr>Frequency</vt:lpstr>
      <vt:lpstr>OTP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REDMI</cp:lastModifiedBy>
  <dcterms:created xsi:type="dcterms:W3CDTF">2025-11-26T10:30:22Z</dcterms:created>
  <dcterms:modified xsi:type="dcterms:W3CDTF">2025-11-26T15:47:49Z</dcterms:modified>
</cp:coreProperties>
</file>